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th\source\repos\xlladdins\xll_ml\xlsx\"/>
    </mc:Choice>
  </mc:AlternateContent>
  <xr:revisionPtr revIDLastSave="0" documentId="13_ncr:1_{A2ACB67E-7729-403F-A48A-F4025542979F}" xr6:coauthVersionLast="47" xr6:coauthVersionMax="47" xr10:uidLastSave="{00000000-0000-0000-0000-000000000000}"/>
  <bookViews>
    <workbookView xWindow="-98" yWindow="-98" windowWidth="22276" windowHeight="13996" activeTab="1" xr2:uid="{EDEE3299-5466-402C-8B4F-6E69C4CA67FB}"/>
  </bookViews>
  <sheets>
    <sheet name="Treasury Rates" sheetId="1" r:id="rId1"/>
    <sheet name="Instrument" sheetId="2" r:id="rId2"/>
    <sheet name="Curve" sheetId="3" r:id="rId3"/>
    <sheet name="Bootstra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4" l="1"/>
  <c r="E8" i="4"/>
  <c r="E7" i="4"/>
  <c r="E6" i="4"/>
  <c r="E5" i="4"/>
  <c r="E4" i="4"/>
  <c r="E3" i="4"/>
  <c r="C8" i="4"/>
  <c r="C7" i="4"/>
  <c r="C6" i="4"/>
  <c r="C5" i="4"/>
  <c r="C4" i="4"/>
  <c r="C3" i="4"/>
  <c r="B4" i="1"/>
  <c r="B6" i="1" s="1" a="1"/>
  <c r="B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E3" authorId="0" shapeId="0" xr:uid="{2B41EF9A-7B2A-4C9F-8A02-560BED64463C}">
      <text>
        <r>
          <rPr>
            <b/>
            <sz val="11"/>
            <color indexed="81"/>
            <rFont val="Tahoma"/>
            <family val="2"/>
          </rPr>
          <t>Actual/360 convention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<sst xmlns="http://schemas.openxmlformats.org/spreadsheetml/2006/main" count="37" uniqueCount="26">
  <si>
    <t>https://home.treasury.gov/resource-center/data-chart-center/interest-rates/daily-treasury-rates.csv/2026/all?field_tdr_date_value=2026&amp;type=daily_treasury_yield_curve&amp;page&amp;_format=csv</t>
  </si>
  <si>
    <t>Add examples for \FI.INSTURMENT, FI.INSTRUMENT, FI.INTRUMENT.ZERO_COUPON_BOND, and FI.INSTRUMENT.BOND</t>
  </si>
  <si>
    <t>Add examples for \FI.CURVE.PWFLAT and FI.CURVE.PWFLAT</t>
  </si>
  <si>
    <t>1 Mo</t>
  </si>
  <si>
    <t>2 Mo</t>
  </si>
  <si>
    <t>3 Mo</t>
  </si>
  <si>
    <t>4 Mo</t>
  </si>
  <si>
    <t>6 Mo</t>
  </si>
  <si>
    <t>1 Yr</t>
  </si>
  <si>
    <t>2 Yr</t>
  </si>
  <si>
    <t>3 Yr</t>
  </si>
  <si>
    <t>5 Yr</t>
  </si>
  <si>
    <t>7 Yr</t>
  </si>
  <si>
    <t>10 Yr</t>
  </si>
  <si>
    <t>20 Yr</t>
  </si>
  <si>
    <t>30 Yr</t>
  </si>
  <si>
    <t>time</t>
  </si>
  <si>
    <t>rate</t>
  </si>
  <si>
    <t>price</t>
  </si>
  <si>
    <t>bill/bond</t>
  </si>
  <si>
    <t>usd \fi.bond</t>
  </si>
  <si>
    <t>.</t>
  </si>
  <si>
    <t>1.5 Mo</t>
  </si>
  <si>
    <t>bootstrap</t>
  </si>
  <si>
    <t>use \fi.bootstrap</t>
  </si>
  <si>
    <t>use \fi.zero cupon 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</si>
</sst>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0x&quot;#"/>
    <numFmt numFmtId="167" formatCode="0.000"/>
  </numFmts>
  <fonts count="5" x14ac:knownFonts="1">
    <font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color indexed="63"/>
      <name val="Aptos Narrow"/>
      <family val="2"/>
      <scheme val="minor"/>
    </font>
    <font>
      <b/>
      <sz val="11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Font="0" applyAlignment="0" applyProtection="0"/>
    <xf numFmtId="164" fontId="3" fillId="0" borderId="0">
      <alignment horizontal="center" vertical="center"/>
    </xf>
  </cellStyleXfs>
  <cellXfs count="8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7" fontId="0" fillId="0" borderId="0" xfId="0" applyNumberFormat="1"/>
    <xf numFmtId="2" fontId="0" fillId="0" borderId="0" xfId="0" applyNumberFormat="1"/>
    <xf numFmtId="0" fontId="0" fillId="2" borderId="1" xfId="2" applyFont="1"/>
    <xf numFmtId="0" fontId="0" fillId="0" borderId="0" xfId="0" applyAlignment="1">
      <alignment horizontal="center"/>
    </xf>
  </cellXfs>
  <cellStyles count="4">
    <cellStyle name="Handle" xfId="3" xr:uid="{FB5D0E3F-B7C2-471A-97B4-EF18ADDF021D}"/>
    <cellStyle name="Hyperlink" xfId="1" builtinId="8"/>
    <cellStyle name="Normal" xfId="0" builtinId="0"/>
    <cellStyle name="Note" xfId="2" builtinId="1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ome.treasury.gov/resource-center/data-chart-center/interest-rates/daily-treasury-rates.csv/2026/all?field_tdr_date_value=2026&amp;type=daily_treasury_yield_curve&amp;page&amp;_format=csv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00C4-F6CC-4E64-A377-FDB90E30013C}">
  <dimension ref="B2:P38"/>
  <sheetViews>
    <sheetView workbookViewId="0">
      <selection activeCell="C6" sqref="C6:P7"/>
    </sheetView>
  </sheetViews>
  <sheetFormatPr defaultRowHeight="18" x14ac:dyDescent="0.55000000000000004"/>
  <sheetData>
    <row r="2" spans="2:16" x14ac:dyDescent="0.55000000000000004">
      <c r="B2" s="1" t="s">
        <v>0</v>
      </c>
    </row>
    <row r="4" spans="2:16" x14ac:dyDescent="0.55000000000000004">
      <c r="B4" t="str">
        <f>_xlfn.WEBSERVICE(B2)</f>
        <v>Date,"1 Mo","1.5 Month","2 Mo","3 Mo","4 Mo","6 Mo","1 Yr","2 Yr","3 Yr","5 Yr","7 Yr","10 Yr","20 Yr","30 Yr"
02/18/2026,3.71,3.74,3.73,3.70,3.70,3.60,3.49,3.47,3.50,3.66,3.86,4.09,4.65,4.71
02/17/2026,3.72,3.75,3.73,3.69,3.70,3.59,3.48,3.43,3.47,3.63,3.82,4.05,4.63,4.68
02/13/2026,3.72,3.71,3.73,3.68,3.70,3.59,3.42,3.40,3.43,3.61,3.81,4.04,4.64,4.69
02/12/2026,3.72,3.71,3.74,3.70,3.70,3.58,3.45,3.47,3.49,3.67,3.87,4.09,4.68,4.72
02/11/2026,3.71,3.71,3.73,3.70,3.70,3.60,3.47,3.52,3.55,3.75,3.96,4.18,4.76,4.82
02/10/2026,3.72,3.72,3.74,3.69,3.69,3.58,3.40,3.45,3.50,3.70,3.92,4.16,4.73,4.78
02/09/2026,3.72,3.72,3.73,3.69,3.70,3.59,3.43,3.48,3.56,3.75,3.97,4.22,4.79,4.85
02/06/2026,3.72,3.72,3.74,3.68,3.70,3.59,3.45,3.50,3.57,3.76,3.98,4.22,4.80,4.85
02/05/2026,3.72,3.71,3.74,3.67,3.68,3.58,3.44,3.47,3.55,3.74,3.97,4.21,4.79,4.85
02/04/2026,3.72,3.72,3.74,3.69,3.70,3.62,3.49,3.57,3.64,3.83,4.05,4.29,4.86,4.91
02/03/2026,3.72,3.72,3.74,3.69,3.70,3.62,3.49,3.57,3.64,3.83,4.04,4.28,4.85,4.90
02/02/2026,3.72,3.72,3.74,3.69,3.70,3.62,3.49,3.57,3.64,3.83,4.05,4.29,4.85,4.90
01/30/2026,3.72,3.73,3.75,3.67,3.69,3.61,3.48,3.52,3.60,3.79,4.01,4.26,4.82,4.87
01/29/2026,3.72,3.73,3.75,3.67,3.69,3.62,3.50,3.53,3.63,3.80,4.01,4.24,4.80,4.85
01/28/2026,3.76,3.72,3.71,3.68,3.70,3.63,3.52,3.56,3.66,3.83,4.05,4.26,4.81,4.85
01/27/2026,3.77,3.72,3.70,3.67,3.66,3.61,3.50,3.53,3.65,3.81,4.03,4.24,4.79,4.83
01/26/2026,3.77,3.71,3.70,3.67,3.67,3.62,3.52,3.56,3.66,3.82,4.02,4.22,4.75,4.80
01/23/2026,3.78,3.71,3.72,3.70,3.67,3.61,3.53,3.60,3.67,3.84,4.03,4.24,4.78,4.82
01/22/2026,3.79,3.71,3.72,3.71,3.67,3.61,3.53,3.61,3.68,3.85,4.05,4.26,4.79,4.84
01/21/2026,3.75,3.71,3.70,3.70,3.67,3.62,3.53,3.60,3.66,3.83,4.04,4.26,4.82,4.87
01/20/2026,3.75,3.71,3.69,3.70,3.65,3.61,3.53,3.60,3.68,3.86,4.08,4.30,4.87,4.91
01/16/2026,3.75,3.72,3.68,3.67,3.66,3.60,3.55,3.59,3.67,3.82,4.02,4.24,4.79,4.83
01/15/2026,3.75,3.73,3.69,3.68,3.66,3.60,3.54,3.56,3.62,3.77,3.96,4.17,4.74,4.79
01/14/2026,3.72,3.71,3.66,3.67,3.65,3.58,3.50,3.51,3.56,3.72,3.92,4.15,4.73,4.79
01/13/2026,3.72,3.72,3.66,3.67,3.63,3.59,3.51,3.53,3.57,3.75,3.95,4.18,4.77,4.83
01/12/2026,3.71,3.68,3.64,3.67,3.63,3.58,3.53,3.54,3.59,3.77,3.97,4.19,4.78,4.83
01/09/2026,3.70,3.68,3.63,3.62,3.62,3.57,3.52,3.54,3.59,3.75,3.95,4.18,4.76,4.82
01/08/2026,3.70,3.69,3.63,3.62,3.60,3.56,3.48,3.49,3.56,3.74,3.95,4.19,4.79,4.85
01/07/2026,3.70,3.69,3.60,3.62,3.60,3.56,3.48,3.47,3.53,3.70,3.91,4.15,4.76,4.82
01/06/2026,3.70,3.70,3.61,3.63,3.58,3.56,3.48,3.47,3.54,3.72,3.93,4.18,4.80,4.86
01/05/2026,3.71,3.68,3.64,3.64,3.61,3.57,3.47,3.46,3.53,3.71,3.92,4.17,4.79,4.85
01/02/2026,3.72,3.71,3.66,3.65,3.62,3.58,3.47,3.47,3.55,3.74,3.95,4.19,4.81,4.86</v>
      </c>
    </row>
    <row r="6" spans="2:16" x14ac:dyDescent="0.55000000000000004">
      <c r="B6" t="str" cm="1">
        <f t="array" ref="B6:P38">_xlfn.TEXTSPLIT(B4,",",CHAR(10))</f>
        <v>Date</v>
      </c>
      <c r="C6" t="str">
        <v>"1 Mo"</v>
      </c>
      <c r="D6" t="str">
        <v>"1.5 Month"</v>
      </c>
      <c r="E6" t="str">
        <v>"2 Mo"</v>
      </c>
      <c r="F6" t="str">
        <v>"3 Mo"</v>
      </c>
      <c r="G6" t="str">
        <v>"4 Mo"</v>
      </c>
      <c r="H6" t="str">
        <v>"6 Mo"</v>
      </c>
      <c r="I6" t="str">
        <v>"1 Yr"</v>
      </c>
      <c r="J6" t="str">
        <v>"2 Yr"</v>
      </c>
      <c r="K6" t="str">
        <v>"3 Yr"</v>
      </c>
      <c r="L6" t="str">
        <v>"5 Yr"</v>
      </c>
      <c r="M6" t="str">
        <v>"7 Yr"</v>
      </c>
      <c r="N6" t="str">
        <v>"10 Yr"</v>
      </c>
      <c r="O6" t="str">
        <v>"20 Yr"</v>
      </c>
      <c r="P6" t="str">
        <v>"30 Yr"</v>
      </c>
    </row>
    <row r="7" spans="2:16" x14ac:dyDescent="0.55000000000000004">
      <c r="B7" t="str">
        <v>02/18/2026</v>
      </c>
      <c r="C7" t="str">
        <v>3.71</v>
      </c>
      <c r="D7" t="str">
        <v>3.74</v>
      </c>
      <c r="E7" t="str">
        <v>3.73</v>
      </c>
      <c r="F7" t="str">
        <v>3.70</v>
      </c>
      <c r="G7" t="str">
        <v>3.70</v>
      </c>
      <c r="H7" t="str">
        <v>3.60</v>
      </c>
      <c r="I7" t="str">
        <v>3.49</v>
      </c>
      <c r="J7" t="str">
        <v>3.47</v>
      </c>
      <c r="K7" t="str">
        <v>3.50</v>
      </c>
      <c r="L7" t="str">
        <v>3.66</v>
      </c>
      <c r="M7" t="str">
        <v>3.86</v>
      </c>
      <c r="N7" t="str">
        <v>4.09</v>
      </c>
      <c r="O7" t="str">
        <v>4.65</v>
      </c>
      <c r="P7" t="str">
        <v>4.71</v>
      </c>
    </row>
    <row r="8" spans="2:16" x14ac:dyDescent="0.55000000000000004">
      <c r="B8" t="str">
        <v>02/17/2026</v>
      </c>
      <c r="C8" t="str">
        <v>3.72</v>
      </c>
      <c r="D8" t="str">
        <v>3.75</v>
      </c>
      <c r="E8" t="str">
        <v>3.73</v>
      </c>
      <c r="F8" t="str">
        <v>3.69</v>
      </c>
      <c r="G8" t="str">
        <v>3.70</v>
      </c>
      <c r="H8" t="str">
        <v>3.59</v>
      </c>
      <c r="I8" t="str">
        <v>3.48</v>
      </c>
      <c r="J8" t="str">
        <v>3.43</v>
      </c>
      <c r="K8" t="str">
        <v>3.47</v>
      </c>
      <c r="L8" t="str">
        <v>3.63</v>
      </c>
      <c r="M8" t="str">
        <v>3.82</v>
      </c>
      <c r="N8" t="str">
        <v>4.05</v>
      </c>
      <c r="O8" t="str">
        <v>4.63</v>
      </c>
      <c r="P8" t="str">
        <v>4.68</v>
      </c>
    </row>
    <row r="9" spans="2:16" x14ac:dyDescent="0.55000000000000004">
      <c r="B9" t="str">
        <v>02/13/2026</v>
      </c>
      <c r="C9" t="str">
        <v>3.72</v>
      </c>
      <c r="D9" t="str">
        <v>3.71</v>
      </c>
      <c r="E9" t="str">
        <v>3.73</v>
      </c>
      <c r="F9" t="str">
        <v>3.68</v>
      </c>
      <c r="G9" t="str">
        <v>3.70</v>
      </c>
      <c r="H9" t="str">
        <v>3.59</v>
      </c>
      <c r="I9" t="str">
        <v>3.42</v>
      </c>
      <c r="J9" t="str">
        <v>3.40</v>
      </c>
      <c r="K9" t="str">
        <v>3.43</v>
      </c>
      <c r="L9" t="str">
        <v>3.61</v>
      </c>
      <c r="M9" t="str">
        <v>3.81</v>
      </c>
      <c r="N9" t="str">
        <v>4.04</v>
      </c>
      <c r="O9" t="str">
        <v>4.64</v>
      </c>
      <c r="P9" t="str">
        <v>4.69</v>
      </c>
    </row>
    <row r="10" spans="2:16" x14ac:dyDescent="0.55000000000000004">
      <c r="B10" t="str">
        <v>02/12/2026</v>
      </c>
      <c r="C10" t="str">
        <v>3.72</v>
      </c>
      <c r="D10" t="str">
        <v>3.71</v>
      </c>
      <c r="E10" t="str">
        <v>3.74</v>
      </c>
      <c r="F10" t="str">
        <v>3.70</v>
      </c>
      <c r="G10" t="str">
        <v>3.70</v>
      </c>
      <c r="H10" t="str">
        <v>3.58</v>
      </c>
      <c r="I10" t="str">
        <v>3.45</v>
      </c>
      <c r="J10" t="str">
        <v>3.47</v>
      </c>
      <c r="K10" t="str">
        <v>3.49</v>
      </c>
      <c r="L10" t="str">
        <v>3.67</v>
      </c>
      <c r="M10" t="str">
        <v>3.87</v>
      </c>
      <c r="N10" t="str">
        <v>4.09</v>
      </c>
      <c r="O10" t="str">
        <v>4.68</v>
      </c>
      <c r="P10" t="str">
        <v>4.72</v>
      </c>
    </row>
    <row r="11" spans="2:16" x14ac:dyDescent="0.55000000000000004">
      <c r="B11" t="str">
        <v>02/11/2026</v>
      </c>
      <c r="C11" t="str">
        <v>3.71</v>
      </c>
      <c r="D11" t="str">
        <v>3.71</v>
      </c>
      <c r="E11" t="str">
        <v>3.73</v>
      </c>
      <c r="F11" t="str">
        <v>3.70</v>
      </c>
      <c r="G11" t="str">
        <v>3.70</v>
      </c>
      <c r="H11" t="str">
        <v>3.60</v>
      </c>
      <c r="I11" t="str">
        <v>3.47</v>
      </c>
      <c r="J11" t="str">
        <v>3.52</v>
      </c>
      <c r="K11" t="str">
        <v>3.55</v>
      </c>
      <c r="L11" t="str">
        <v>3.75</v>
      </c>
      <c r="M11" t="str">
        <v>3.96</v>
      </c>
      <c r="N11" t="str">
        <v>4.18</v>
      </c>
      <c r="O11" t="str">
        <v>4.76</v>
      </c>
      <c r="P11" t="str">
        <v>4.82</v>
      </c>
    </row>
    <row r="12" spans="2:16" x14ac:dyDescent="0.55000000000000004">
      <c r="B12" t="str">
        <v>02/10/2026</v>
      </c>
      <c r="C12" t="str">
        <v>3.72</v>
      </c>
      <c r="D12" t="str">
        <v>3.72</v>
      </c>
      <c r="E12" t="str">
        <v>3.74</v>
      </c>
      <c r="F12" t="str">
        <v>3.69</v>
      </c>
      <c r="G12" t="str">
        <v>3.69</v>
      </c>
      <c r="H12" t="str">
        <v>3.58</v>
      </c>
      <c r="I12" t="str">
        <v>3.40</v>
      </c>
      <c r="J12" t="str">
        <v>3.45</v>
      </c>
      <c r="K12" t="str">
        <v>3.50</v>
      </c>
      <c r="L12" t="str">
        <v>3.70</v>
      </c>
      <c r="M12" t="str">
        <v>3.92</v>
      </c>
      <c r="N12" t="str">
        <v>4.16</v>
      </c>
      <c r="O12" t="str">
        <v>4.73</v>
      </c>
      <c r="P12" t="str">
        <v>4.78</v>
      </c>
    </row>
    <row r="13" spans="2:16" x14ac:dyDescent="0.55000000000000004">
      <c r="B13" t="str">
        <v>02/09/2026</v>
      </c>
      <c r="C13" t="str">
        <v>3.72</v>
      </c>
      <c r="D13" t="str">
        <v>3.72</v>
      </c>
      <c r="E13" t="str">
        <v>3.73</v>
      </c>
      <c r="F13" t="str">
        <v>3.69</v>
      </c>
      <c r="G13" t="str">
        <v>3.70</v>
      </c>
      <c r="H13" t="str">
        <v>3.59</v>
      </c>
      <c r="I13" t="str">
        <v>3.43</v>
      </c>
      <c r="J13" t="str">
        <v>3.48</v>
      </c>
      <c r="K13" t="str">
        <v>3.56</v>
      </c>
      <c r="L13" t="str">
        <v>3.75</v>
      </c>
      <c r="M13" t="str">
        <v>3.97</v>
      </c>
      <c r="N13" t="str">
        <v>4.22</v>
      </c>
      <c r="O13" t="str">
        <v>4.79</v>
      </c>
      <c r="P13" t="str">
        <v>4.85</v>
      </c>
    </row>
    <row r="14" spans="2:16" x14ac:dyDescent="0.55000000000000004">
      <c r="B14" t="str">
        <v>02/06/2026</v>
      </c>
      <c r="C14" t="str">
        <v>3.72</v>
      </c>
      <c r="D14" t="str">
        <v>3.72</v>
      </c>
      <c r="E14" t="str">
        <v>3.74</v>
      </c>
      <c r="F14" t="str">
        <v>3.68</v>
      </c>
      <c r="G14" t="str">
        <v>3.70</v>
      </c>
      <c r="H14" t="str">
        <v>3.59</v>
      </c>
      <c r="I14" t="str">
        <v>3.45</v>
      </c>
      <c r="J14" t="str">
        <v>3.50</v>
      </c>
      <c r="K14" t="str">
        <v>3.57</v>
      </c>
      <c r="L14" t="str">
        <v>3.76</v>
      </c>
      <c r="M14" t="str">
        <v>3.98</v>
      </c>
      <c r="N14" t="str">
        <v>4.22</v>
      </c>
      <c r="O14" t="str">
        <v>4.80</v>
      </c>
      <c r="P14" t="str">
        <v>4.85</v>
      </c>
    </row>
    <row r="15" spans="2:16" x14ac:dyDescent="0.55000000000000004">
      <c r="B15" t="str">
        <v>02/05/2026</v>
      </c>
      <c r="C15" t="str">
        <v>3.72</v>
      </c>
      <c r="D15" t="str">
        <v>3.71</v>
      </c>
      <c r="E15" t="str">
        <v>3.74</v>
      </c>
      <c r="F15" t="str">
        <v>3.67</v>
      </c>
      <c r="G15" t="str">
        <v>3.68</v>
      </c>
      <c r="H15" t="str">
        <v>3.58</v>
      </c>
      <c r="I15" t="str">
        <v>3.44</v>
      </c>
      <c r="J15" t="str">
        <v>3.47</v>
      </c>
      <c r="K15" t="str">
        <v>3.55</v>
      </c>
      <c r="L15" t="str">
        <v>3.74</v>
      </c>
      <c r="M15" t="str">
        <v>3.97</v>
      </c>
      <c r="N15" t="str">
        <v>4.21</v>
      </c>
      <c r="O15" t="str">
        <v>4.79</v>
      </c>
      <c r="P15" t="str">
        <v>4.85</v>
      </c>
    </row>
    <row r="16" spans="2:16" x14ac:dyDescent="0.55000000000000004">
      <c r="B16" t="str">
        <v>02/04/2026</v>
      </c>
      <c r="C16" t="str">
        <v>3.72</v>
      </c>
      <c r="D16" t="str">
        <v>3.72</v>
      </c>
      <c r="E16" t="str">
        <v>3.74</v>
      </c>
      <c r="F16" t="str">
        <v>3.69</v>
      </c>
      <c r="G16" t="str">
        <v>3.70</v>
      </c>
      <c r="H16" t="str">
        <v>3.62</v>
      </c>
      <c r="I16" t="str">
        <v>3.49</v>
      </c>
      <c r="J16" t="str">
        <v>3.57</v>
      </c>
      <c r="K16" t="str">
        <v>3.64</v>
      </c>
      <c r="L16" t="str">
        <v>3.83</v>
      </c>
      <c r="M16" t="str">
        <v>4.05</v>
      </c>
      <c r="N16" t="str">
        <v>4.29</v>
      </c>
      <c r="O16" t="str">
        <v>4.86</v>
      </c>
      <c r="P16" t="str">
        <v>4.91</v>
      </c>
    </row>
    <row r="17" spans="2:16" x14ac:dyDescent="0.55000000000000004">
      <c r="B17" t="str">
        <v>02/03/2026</v>
      </c>
      <c r="C17" t="str">
        <v>3.72</v>
      </c>
      <c r="D17" t="str">
        <v>3.72</v>
      </c>
      <c r="E17" t="str">
        <v>3.74</v>
      </c>
      <c r="F17" t="str">
        <v>3.69</v>
      </c>
      <c r="G17" t="str">
        <v>3.70</v>
      </c>
      <c r="H17" t="str">
        <v>3.62</v>
      </c>
      <c r="I17" t="str">
        <v>3.49</v>
      </c>
      <c r="J17" t="str">
        <v>3.57</v>
      </c>
      <c r="K17" t="str">
        <v>3.64</v>
      </c>
      <c r="L17" t="str">
        <v>3.83</v>
      </c>
      <c r="M17" t="str">
        <v>4.04</v>
      </c>
      <c r="N17" t="str">
        <v>4.28</v>
      </c>
      <c r="O17" t="str">
        <v>4.85</v>
      </c>
      <c r="P17" t="str">
        <v>4.90</v>
      </c>
    </row>
    <row r="18" spans="2:16" x14ac:dyDescent="0.55000000000000004">
      <c r="B18" t="str">
        <v>02/02/2026</v>
      </c>
      <c r="C18" t="str">
        <v>3.72</v>
      </c>
      <c r="D18" t="str">
        <v>3.72</v>
      </c>
      <c r="E18" t="str">
        <v>3.74</v>
      </c>
      <c r="F18" t="str">
        <v>3.69</v>
      </c>
      <c r="G18" t="str">
        <v>3.70</v>
      </c>
      <c r="H18" t="str">
        <v>3.62</v>
      </c>
      <c r="I18" t="str">
        <v>3.49</v>
      </c>
      <c r="J18" t="str">
        <v>3.57</v>
      </c>
      <c r="K18" t="str">
        <v>3.64</v>
      </c>
      <c r="L18" t="str">
        <v>3.83</v>
      </c>
      <c r="M18" t="str">
        <v>4.05</v>
      </c>
      <c r="N18" t="str">
        <v>4.29</v>
      </c>
      <c r="O18" t="str">
        <v>4.85</v>
      </c>
      <c r="P18" t="str">
        <v>4.90</v>
      </c>
    </row>
    <row r="19" spans="2:16" x14ac:dyDescent="0.55000000000000004">
      <c r="B19" t="str">
        <v>01/30/2026</v>
      </c>
      <c r="C19" t="str">
        <v>3.72</v>
      </c>
      <c r="D19" t="str">
        <v>3.73</v>
      </c>
      <c r="E19" t="str">
        <v>3.75</v>
      </c>
      <c r="F19" t="str">
        <v>3.67</v>
      </c>
      <c r="G19" t="str">
        <v>3.69</v>
      </c>
      <c r="H19" t="str">
        <v>3.61</v>
      </c>
      <c r="I19" t="str">
        <v>3.48</v>
      </c>
      <c r="J19" t="str">
        <v>3.52</v>
      </c>
      <c r="K19" t="str">
        <v>3.60</v>
      </c>
      <c r="L19" t="str">
        <v>3.79</v>
      </c>
      <c r="M19" t="str">
        <v>4.01</v>
      </c>
      <c r="N19" t="str">
        <v>4.26</v>
      </c>
      <c r="O19" t="str">
        <v>4.82</v>
      </c>
      <c r="P19" t="str">
        <v>4.87</v>
      </c>
    </row>
    <row r="20" spans="2:16" x14ac:dyDescent="0.55000000000000004">
      <c r="B20" t="str">
        <v>01/29/2026</v>
      </c>
      <c r="C20" t="str">
        <v>3.72</v>
      </c>
      <c r="D20" t="str">
        <v>3.73</v>
      </c>
      <c r="E20" t="str">
        <v>3.75</v>
      </c>
      <c r="F20" t="str">
        <v>3.67</v>
      </c>
      <c r="G20" t="str">
        <v>3.69</v>
      </c>
      <c r="H20" t="str">
        <v>3.62</v>
      </c>
      <c r="I20" t="str">
        <v>3.50</v>
      </c>
      <c r="J20" t="str">
        <v>3.53</v>
      </c>
      <c r="K20" t="str">
        <v>3.63</v>
      </c>
      <c r="L20" t="str">
        <v>3.80</v>
      </c>
      <c r="M20" t="str">
        <v>4.01</v>
      </c>
      <c r="N20" t="str">
        <v>4.24</v>
      </c>
      <c r="O20" t="str">
        <v>4.80</v>
      </c>
      <c r="P20" t="str">
        <v>4.85</v>
      </c>
    </row>
    <row r="21" spans="2:16" x14ac:dyDescent="0.55000000000000004">
      <c r="B21" t="str">
        <v>01/28/2026</v>
      </c>
      <c r="C21" t="str">
        <v>3.76</v>
      </c>
      <c r="D21" t="str">
        <v>3.72</v>
      </c>
      <c r="E21" t="str">
        <v>3.71</v>
      </c>
      <c r="F21" t="str">
        <v>3.68</v>
      </c>
      <c r="G21" t="str">
        <v>3.70</v>
      </c>
      <c r="H21" t="str">
        <v>3.63</v>
      </c>
      <c r="I21" t="str">
        <v>3.52</v>
      </c>
      <c r="J21" t="str">
        <v>3.56</v>
      </c>
      <c r="K21" t="str">
        <v>3.66</v>
      </c>
      <c r="L21" t="str">
        <v>3.83</v>
      </c>
      <c r="M21" t="str">
        <v>4.05</v>
      </c>
      <c r="N21" t="str">
        <v>4.26</v>
      </c>
      <c r="O21" t="str">
        <v>4.81</v>
      </c>
      <c r="P21" t="str">
        <v>4.85</v>
      </c>
    </row>
    <row r="22" spans="2:16" x14ac:dyDescent="0.55000000000000004">
      <c r="B22" t="str">
        <v>01/27/2026</v>
      </c>
      <c r="C22" t="str">
        <v>3.77</v>
      </c>
      <c r="D22" t="str">
        <v>3.72</v>
      </c>
      <c r="E22" t="str">
        <v>3.70</v>
      </c>
      <c r="F22" t="str">
        <v>3.67</v>
      </c>
      <c r="G22" t="str">
        <v>3.66</v>
      </c>
      <c r="H22" t="str">
        <v>3.61</v>
      </c>
      <c r="I22" t="str">
        <v>3.50</v>
      </c>
      <c r="J22" t="str">
        <v>3.53</v>
      </c>
      <c r="K22" t="str">
        <v>3.65</v>
      </c>
      <c r="L22" t="str">
        <v>3.81</v>
      </c>
      <c r="M22" t="str">
        <v>4.03</v>
      </c>
      <c r="N22" t="str">
        <v>4.24</v>
      </c>
      <c r="O22" t="str">
        <v>4.79</v>
      </c>
      <c r="P22" t="str">
        <v>4.83</v>
      </c>
    </row>
    <row r="23" spans="2:16" x14ac:dyDescent="0.55000000000000004">
      <c r="B23" t="str">
        <v>01/26/2026</v>
      </c>
      <c r="C23" t="str">
        <v>3.77</v>
      </c>
      <c r="D23" t="str">
        <v>3.71</v>
      </c>
      <c r="E23" t="str">
        <v>3.70</v>
      </c>
      <c r="F23" t="str">
        <v>3.67</v>
      </c>
      <c r="G23" t="str">
        <v>3.67</v>
      </c>
      <c r="H23" t="str">
        <v>3.62</v>
      </c>
      <c r="I23" t="str">
        <v>3.52</v>
      </c>
      <c r="J23" t="str">
        <v>3.56</v>
      </c>
      <c r="K23" t="str">
        <v>3.66</v>
      </c>
      <c r="L23" t="str">
        <v>3.82</v>
      </c>
      <c r="M23" t="str">
        <v>4.02</v>
      </c>
      <c r="N23" t="str">
        <v>4.22</v>
      </c>
      <c r="O23" t="str">
        <v>4.75</v>
      </c>
      <c r="P23" t="str">
        <v>4.80</v>
      </c>
    </row>
    <row r="24" spans="2:16" x14ac:dyDescent="0.55000000000000004">
      <c r="B24" t="str">
        <v>01/23/2026</v>
      </c>
      <c r="C24" t="str">
        <v>3.78</v>
      </c>
      <c r="D24" t="str">
        <v>3.71</v>
      </c>
      <c r="E24" t="str">
        <v>3.72</v>
      </c>
      <c r="F24" t="str">
        <v>3.70</v>
      </c>
      <c r="G24" t="str">
        <v>3.67</v>
      </c>
      <c r="H24" t="str">
        <v>3.61</v>
      </c>
      <c r="I24" t="str">
        <v>3.53</v>
      </c>
      <c r="J24" t="str">
        <v>3.60</v>
      </c>
      <c r="K24" t="str">
        <v>3.67</v>
      </c>
      <c r="L24" t="str">
        <v>3.84</v>
      </c>
      <c r="M24" t="str">
        <v>4.03</v>
      </c>
      <c r="N24" t="str">
        <v>4.24</v>
      </c>
      <c r="O24" t="str">
        <v>4.78</v>
      </c>
      <c r="P24" t="str">
        <v>4.82</v>
      </c>
    </row>
    <row r="25" spans="2:16" x14ac:dyDescent="0.55000000000000004">
      <c r="B25" t="str">
        <v>01/22/2026</v>
      </c>
      <c r="C25" t="str">
        <v>3.79</v>
      </c>
      <c r="D25" t="str">
        <v>3.71</v>
      </c>
      <c r="E25" t="str">
        <v>3.72</v>
      </c>
      <c r="F25" t="str">
        <v>3.71</v>
      </c>
      <c r="G25" t="str">
        <v>3.67</v>
      </c>
      <c r="H25" t="str">
        <v>3.61</v>
      </c>
      <c r="I25" t="str">
        <v>3.53</v>
      </c>
      <c r="J25" t="str">
        <v>3.61</v>
      </c>
      <c r="K25" t="str">
        <v>3.68</v>
      </c>
      <c r="L25" t="str">
        <v>3.85</v>
      </c>
      <c r="M25" t="str">
        <v>4.05</v>
      </c>
      <c r="N25" t="str">
        <v>4.26</v>
      </c>
      <c r="O25" t="str">
        <v>4.79</v>
      </c>
      <c r="P25" t="str">
        <v>4.84</v>
      </c>
    </row>
    <row r="26" spans="2:16" x14ac:dyDescent="0.55000000000000004">
      <c r="B26" t="str">
        <v>01/21/2026</v>
      </c>
      <c r="C26" t="str">
        <v>3.75</v>
      </c>
      <c r="D26" t="str">
        <v>3.71</v>
      </c>
      <c r="E26" t="str">
        <v>3.70</v>
      </c>
      <c r="F26" t="str">
        <v>3.70</v>
      </c>
      <c r="G26" t="str">
        <v>3.67</v>
      </c>
      <c r="H26" t="str">
        <v>3.62</v>
      </c>
      <c r="I26" t="str">
        <v>3.53</v>
      </c>
      <c r="J26" t="str">
        <v>3.60</v>
      </c>
      <c r="K26" t="str">
        <v>3.66</v>
      </c>
      <c r="L26" t="str">
        <v>3.83</v>
      </c>
      <c r="M26" t="str">
        <v>4.04</v>
      </c>
      <c r="N26" t="str">
        <v>4.26</v>
      </c>
      <c r="O26" t="str">
        <v>4.82</v>
      </c>
      <c r="P26" t="str">
        <v>4.87</v>
      </c>
    </row>
    <row r="27" spans="2:16" x14ac:dyDescent="0.55000000000000004">
      <c r="B27" t="str">
        <v>01/20/2026</v>
      </c>
      <c r="C27" t="str">
        <v>3.75</v>
      </c>
      <c r="D27" t="str">
        <v>3.71</v>
      </c>
      <c r="E27" t="str">
        <v>3.69</v>
      </c>
      <c r="F27" t="str">
        <v>3.70</v>
      </c>
      <c r="G27" t="str">
        <v>3.65</v>
      </c>
      <c r="H27" t="str">
        <v>3.61</v>
      </c>
      <c r="I27" t="str">
        <v>3.53</v>
      </c>
      <c r="J27" t="str">
        <v>3.60</v>
      </c>
      <c r="K27" t="str">
        <v>3.68</v>
      </c>
      <c r="L27" t="str">
        <v>3.86</v>
      </c>
      <c r="M27" t="str">
        <v>4.08</v>
      </c>
      <c r="N27" t="str">
        <v>4.30</v>
      </c>
      <c r="O27" t="str">
        <v>4.87</v>
      </c>
      <c r="P27" t="str">
        <v>4.91</v>
      </c>
    </row>
    <row r="28" spans="2:16" x14ac:dyDescent="0.55000000000000004">
      <c r="B28" t="str">
        <v>01/16/2026</v>
      </c>
      <c r="C28" t="str">
        <v>3.75</v>
      </c>
      <c r="D28" t="str">
        <v>3.72</v>
      </c>
      <c r="E28" t="str">
        <v>3.68</v>
      </c>
      <c r="F28" t="str">
        <v>3.67</v>
      </c>
      <c r="G28" t="str">
        <v>3.66</v>
      </c>
      <c r="H28" t="str">
        <v>3.60</v>
      </c>
      <c r="I28" t="str">
        <v>3.55</v>
      </c>
      <c r="J28" t="str">
        <v>3.59</v>
      </c>
      <c r="K28" t="str">
        <v>3.67</v>
      </c>
      <c r="L28" t="str">
        <v>3.82</v>
      </c>
      <c r="M28" t="str">
        <v>4.02</v>
      </c>
      <c r="N28" t="str">
        <v>4.24</v>
      </c>
      <c r="O28" t="str">
        <v>4.79</v>
      </c>
      <c r="P28" t="str">
        <v>4.83</v>
      </c>
    </row>
    <row r="29" spans="2:16" x14ac:dyDescent="0.55000000000000004">
      <c r="B29" t="str">
        <v>01/15/2026</v>
      </c>
      <c r="C29" t="str">
        <v>3.75</v>
      </c>
      <c r="D29" t="str">
        <v>3.73</v>
      </c>
      <c r="E29" t="str">
        <v>3.69</v>
      </c>
      <c r="F29" t="str">
        <v>3.68</v>
      </c>
      <c r="G29" t="str">
        <v>3.66</v>
      </c>
      <c r="H29" t="str">
        <v>3.60</v>
      </c>
      <c r="I29" t="str">
        <v>3.54</v>
      </c>
      <c r="J29" t="str">
        <v>3.56</v>
      </c>
      <c r="K29" t="str">
        <v>3.62</v>
      </c>
      <c r="L29" t="str">
        <v>3.77</v>
      </c>
      <c r="M29" t="str">
        <v>3.96</v>
      </c>
      <c r="N29" t="str">
        <v>4.17</v>
      </c>
      <c r="O29" t="str">
        <v>4.74</v>
      </c>
      <c r="P29" t="str">
        <v>4.79</v>
      </c>
    </row>
    <row r="30" spans="2:16" x14ac:dyDescent="0.55000000000000004">
      <c r="B30" t="str">
        <v>01/14/2026</v>
      </c>
      <c r="C30" t="str">
        <v>3.72</v>
      </c>
      <c r="D30" t="str">
        <v>3.71</v>
      </c>
      <c r="E30" t="str">
        <v>3.66</v>
      </c>
      <c r="F30" t="str">
        <v>3.67</v>
      </c>
      <c r="G30" t="str">
        <v>3.65</v>
      </c>
      <c r="H30" t="str">
        <v>3.58</v>
      </c>
      <c r="I30" t="str">
        <v>3.50</v>
      </c>
      <c r="J30" t="str">
        <v>3.51</v>
      </c>
      <c r="K30" t="str">
        <v>3.56</v>
      </c>
      <c r="L30" t="str">
        <v>3.72</v>
      </c>
      <c r="M30" t="str">
        <v>3.92</v>
      </c>
      <c r="N30" t="str">
        <v>4.15</v>
      </c>
      <c r="O30" t="str">
        <v>4.73</v>
      </c>
      <c r="P30" t="str">
        <v>4.79</v>
      </c>
    </row>
    <row r="31" spans="2:16" x14ac:dyDescent="0.55000000000000004">
      <c r="B31" t="str">
        <v>01/13/2026</v>
      </c>
      <c r="C31" t="str">
        <v>3.72</v>
      </c>
      <c r="D31" t="str">
        <v>3.72</v>
      </c>
      <c r="E31" t="str">
        <v>3.66</v>
      </c>
      <c r="F31" t="str">
        <v>3.67</v>
      </c>
      <c r="G31" t="str">
        <v>3.63</v>
      </c>
      <c r="H31" t="str">
        <v>3.59</v>
      </c>
      <c r="I31" t="str">
        <v>3.51</v>
      </c>
      <c r="J31" t="str">
        <v>3.53</v>
      </c>
      <c r="K31" t="str">
        <v>3.57</v>
      </c>
      <c r="L31" t="str">
        <v>3.75</v>
      </c>
      <c r="M31" t="str">
        <v>3.95</v>
      </c>
      <c r="N31" t="str">
        <v>4.18</v>
      </c>
      <c r="O31" t="str">
        <v>4.77</v>
      </c>
      <c r="P31" t="str">
        <v>4.83</v>
      </c>
    </row>
    <row r="32" spans="2:16" x14ac:dyDescent="0.55000000000000004">
      <c r="B32" t="str">
        <v>01/12/2026</v>
      </c>
      <c r="C32" t="str">
        <v>3.71</v>
      </c>
      <c r="D32" t="str">
        <v>3.68</v>
      </c>
      <c r="E32" t="str">
        <v>3.64</v>
      </c>
      <c r="F32" t="str">
        <v>3.67</v>
      </c>
      <c r="G32" t="str">
        <v>3.63</v>
      </c>
      <c r="H32" t="str">
        <v>3.58</v>
      </c>
      <c r="I32" t="str">
        <v>3.53</v>
      </c>
      <c r="J32" t="str">
        <v>3.54</v>
      </c>
      <c r="K32" t="str">
        <v>3.59</v>
      </c>
      <c r="L32" t="str">
        <v>3.77</v>
      </c>
      <c r="M32" t="str">
        <v>3.97</v>
      </c>
      <c r="N32" t="str">
        <v>4.19</v>
      </c>
      <c r="O32" t="str">
        <v>4.78</v>
      </c>
      <c r="P32" t="str">
        <v>4.83</v>
      </c>
    </row>
    <row r="33" spans="2:16" x14ac:dyDescent="0.55000000000000004">
      <c r="B33" t="str">
        <v>01/09/2026</v>
      </c>
      <c r="C33" t="str">
        <v>3.70</v>
      </c>
      <c r="D33" t="str">
        <v>3.68</v>
      </c>
      <c r="E33" t="str">
        <v>3.63</v>
      </c>
      <c r="F33" t="str">
        <v>3.62</v>
      </c>
      <c r="G33" t="str">
        <v>3.62</v>
      </c>
      <c r="H33" t="str">
        <v>3.57</v>
      </c>
      <c r="I33" t="str">
        <v>3.52</v>
      </c>
      <c r="J33" t="str">
        <v>3.54</v>
      </c>
      <c r="K33" t="str">
        <v>3.59</v>
      </c>
      <c r="L33" t="str">
        <v>3.75</v>
      </c>
      <c r="M33" t="str">
        <v>3.95</v>
      </c>
      <c r="N33" t="str">
        <v>4.18</v>
      </c>
      <c r="O33" t="str">
        <v>4.76</v>
      </c>
      <c r="P33" t="str">
        <v>4.82</v>
      </c>
    </row>
    <row r="34" spans="2:16" x14ac:dyDescent="0.55000000000000004">
      <c r="B34" t="str">
        <v>01/08/2026</v>
      </c>
      <c r="C34" t="str">
        <v>3.70</v>
      </c>
      <c r="D34" t="str">
        <v>3.69</v>
      </c>
      <c r="E34" t="str">
        <v>3.63</v>
      </c>
      <c r="F34" t="str">
        <v>3.62</v>
      </c>
      <c r="G34" t="str">
        <v>3.60</v>
      </c>
      <c r="H34" t="str">
        <v>3.56</v>
      </c>
      <c r="I34" t="str">
        <v>3.48</v>
      </c>
      <c r="J34" t="str">
        <v>3.49</v>
      </c>
      <c r="K34" t="str">
        <v>3.56</v>
      </c>
      <c r="L34" t="str">
        <v>3.74</v>
      </c>
      <c r="M34" t="str">
        <v>3.95</v>
      </c>
      <c r="N34" t="str">
        <v>4.19</v>
      </c>
      <c r="O34" t="str">
        <v>4.79</v>
      </c>
      <c r="P34" t="str">
        <v>4.85</v>
      </c>
    </row>
    <row r="35" spans="2:16" x14ac:dyDescent="0.55000000000000004">
      <c r="B35" t="str">
        <v>01/07/2026</v>
      </c>
      <c r="C35" t="str">
        <v>3.70</v>
      </c>
      <c r="D35" t="str">
        <v>3.69</v>
      </c>
      <c r="E35" t="str">
        <v>3.60</v>
      </c>
      <c r="F35" t="str">
        <v>3.62</v>
      </c>
      <c r="G35" t="str">
        <v>3.60</v>
      </c>
      <c r="H35" t="str">
        <v>3.56</v>
      </c>
      <c r="I35" t="str">
        <v>3.48</v>
      </c>
      <c r="J35" t="str">
        <v>3.47</v>
      </c>
      <c r="K35" t="str">
        <v>3.53</v>
      </c>
      <c r="L35" t="str">
        <v>3.70</v>
      </c>
      <c r="M35" t="str">
        <v>3.91</v>
      </c>
      <c r="N35" t="str">
        <v>4.15</v>
      </c>
      <c r="O35" t="str">
        <v>4.76</v>
      </c>
      <c r="P35" t="str">
        <v>4.82</v>
      </c>
    </row>
    <row r="36" spans="2:16" x14ac:dyDescent="0.55000000000000004">
      <c r="B36" t="str">
        <v>01/06/2026</v>
      </c>
      <c r="C36" t="str">
        <v>3.70</v>
      </c>
      <c r="D36" t="str">
        <v>3.70</v>
      </c>
      <c r="E36" t="str">
        <v>3.61</v>
      </c>
      <c r="F36" t="str">
        <v>3.63</v>
      </c>
      <c r="G36" t="str">
        <v>3.58</v>
      </c>
      <c r="H36" t="str">
        <v>3.56</v>
      </c>
      <c r="I36" t="str">
        <v>3.48</v>
      </c>
      <c r="J36" t="str">
        <v>3.47</v>
      </c>
      <c r="K36" t="str">
        <v>3.54</v>
      </c>
      <c r="L36" t="str">
        <v>3.72</v>
      </c>
      <c r="M36" t="str">
        <v>3.93</v>
      </c>
      <c r="N36" t="str">
        <v>4.18</v>
      </c>
      <c r="O36" t="str">
        <v>4.80</v>
      </c>
      <c r="P36" t="str">
        <v>4.86</v>
      </c>
    </row>
    <row r="37" spans="2:16" x14ac:dyDescent="0.55000000000000004">
      <c r="B37" t="str">
        <v>01/05/2026</v>
      </c>
      <c r="C37" t="str">
        <v>3.71</v>
      </c>
      <c r="D37" t="str">
        <v>3.68</v>
      </c>
      <c r="E37" t="str">
        <v>3.64</v>
      </c>
      <c r="F37" t="str">
        <v>3.64</v>
      </c>
      <c r="G37" t="str">
        <v>3.61</v>
      </c>
      <c r="H37" t="str">
        <v>3.57</v>
      </c>
      <c r="I37" t="str">
        <v>3.47</v>
      </c>
      <c r="J37" t="str">
        <v>3.46</v>
      </c>
      <c r="K37" t="str">
        <v>3.53</v>
      </c>
      <c r="L37" t="str">
        <v>3.71</v>
      </c>
      <c r="M37" t="str">
        <v>3.92</v>
      </c>
      <c r="N37" t="str">
        <v>4.17</v>
      </c>
      <c r="O37" t="str">
        <v>4.79</v>
      </c>
      <c r="P37" t="str">
        <v>4.85</v>
      </c>
    </row>
    <row r="38" spans="2:16" x14ac:dyDescent="0.55000000000000004">
      <c r="B38" t="str">
        <v>01/02/2026</v>
      </c>
      <c r="C38" t="str">
        <v>3.72</v>
      </c>
      <c r="D38" t="str">
        <v>3.71</v>
      </c>
      <c r="E38" t="str">
        <v>3.66</v>
      </c>
      <c r="F38" t="str">
        <v>3.65</v>
      </c>
      <c r="G38" t="str">
        <v>3.62</v>
      </c>
      <c r="H38" t="str">
        <v>3.58</v>
      </c>
      <c r="I38" t="str">
        <v>3.47</v>
      </c>
      <c r="J38" t="str">
        <v>3.47</v>
      </c>
      <c r="K38" t="str">
        <v>3.55</v>
      </c>
      <c r="L38" t="str">
        <v>3.74</v>
      </c>
      <c r="M38" t="str">
        <v>3.95</v>
      </c>
      <c r="N38" t="str">
        <v>4.19</v>
      </c>
      <c r="O38" t="str">
        <v>4.81</v>
      </c>
      <c r="P38" t="str">
        <v>4.86</v>
      </c>
    </row>
  </sheetData>
  <hyperlinks>
    <hyperlink ref="B2" r:id="rId1" xr:uid="{A540E354-8D5C-4BE3-BEEC-45C6D363E13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2F35-77D5-4361-8DFB-2603DE31162A}">
  <dimension ref="B2:B4"/>
  <sheetViews>
    <sheetView tabSelected="1" workbookViewId="0">
      <selection activeCell="B2" sqref="B2"/>
    </sheetView>
  </sheetViews>
  <sheetFormatPr defaultRowHeight="18" x14ac:dyDescent="0.55000000000000004"/>
  <sheetData>
    <row r="2" spans="2:2" x14ac:dyDescent="0.55000000000000004">
      <c r="B2" s="3" t="s">
        <v>1</v>
      </c>
    </row>
    <row r="4" spans="2:2" x14ac:dyDescent="0.55000000000000004">
      <c r="B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A35E-C248-4AE4-A2E8-7948ED4AA090}">
  <dimension ref="B2"/>
  <sheetViews>
    <sheetView workbookViewId="0">
      <selection activeCell="B2" sqref="B2"/>
    </sheetView>
  </sheetViews>
  <sheetFormatPr defaultRowHeight="18" x14ac:dyDescent="0.55000000000000004"/>
  <sheetData>
    <row r="2" spans="2:2" x14ac:dyDescent="0.55000000000000004">
      <c r="B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5B4B-30B9-4C78-A319-DEE69FDAA7AA}">
  <dimension ref="B2:H16"/>
  <sheetViews>
    <sheetView workbookViewId="0">
      <selection activeCell="H14" sqref="H14"/>
    </sheetView>
  </sheetViews>
  <sheetFormatPr defaultRowHeight="18" x14ac:dyDescent="0.55000000000000004"/>
  <sheetData>
    <row r="2" spans="2:8" x14ac:dyDescent="0.55000000000000004">
      <c r="C2" s="7" t="s">
        <v>16</v>
      </c>
      <c r="D2" s="7" t="s">
        <v>17</v>
      </c>
      <c r="E2" s="7" t="s">
        <v>18</v>
      </c>
      <c r="F2" t="s">
        <v>19</v>
      </c>
      <c r="G2" s="2" t="s">
        <v>23</v>
      </c>
      <c r="H2" s="6" t="s">
        <v>24</v>
      </c>
    </row>
    <row r="3" spans="2:8" x14ac:dyDescent="0.55000000000000004">
      <c r="B3" s="2" t="s">
        <v>3</v>
      </c>
      <c r="C3" s="4">
        <f>1/12</f>
        <v>8.3333333333333329E-2</v>
      </c>
      <c r="D3">
        <v>3.7100000000000001E-2</v>
      </c>
      <c r="E3">
        <f>1-D3*C3/360</f>
        <v>0.99999141203703701</v>
      </c>
      <c r="F3" s="6" t="s">
        <v>25</v>
      </c>
    </row>
    <row r="4" spans="2:8" x14ac:dyDescent="0.55000000000000004">
      <c r="B4" s="2" t="s">
        <v>22</v>
      </c>
      <c r="C4">
        <f>1.5/12</f>
        <v>0.125</v>
      </c>
      <c r="D4">
        <v>3.7400000000000003E-2</v>
      </c>
      <c r="E4">
        <f t="shared" ref="E4:E9" si="0">1-D4*C4/360</f>
        <v>0.99998701388888889</v>
      </c>
      <c r="F4" t="s">
        <v>21</v>
      </c>
    </row>
    <row r="5" spans="2:8" x14ac:dyDescent="0.55000000000000004">
      <c r="B5" s="2" t="s">
        <v>4</v>
      </c>
      <c r="C5" s="4">
        <f>1/12</f>
        <v>8.3333333333333329E-2</v>
      </c>
      <c r="D5">
        <v>3.73E-2</v>
      </c>
      <c r="E5">
        <f t="shared" si="0"/>
        <v>0.99999136574074077</v>
      </c>
      <c r="F5" t="s">
        <v>21</v>
      </c>
    </row>
    <row r="6" spans="2:8" x14ac:dyDescent="0.55000000000000004">
      <c r="B6" s="2" t="s">
        <v>5</v>
      </c>
      <c r="C6">
        <f>3/12</f>
        <v>0.25</v>
      </c>
      <c r="D6">
        <v>3.7000000000000005E-2</v>
      </c>
      <c r="E6">
        <f t="shared" si="0"/>
        <v>0.99997430555555555</v>
      </c>
      <c r="F6" t="s">
        <v>21</v>
      </c>
    </row>
    <row r="7" spans="2:8" x14ac:dyDescent="0.55000000000000004">
      <c r="B7" s="2" t="s">
        <v>6</v>
      </c>
      <c r="C7" s="5">
        <f>4/12</f>
        <v>0.33333333333333331</v>
      </c>
      <c r="D7">
        <v>3.7000000000000005E-2</v>
      </c>
      <c r="E7">
        <f t="shared" si="0"/>
        <v>0.99996574074074074</v>
      </c>
      <c r="F7" t="s">
        <v>21</v>
      </c>
    </row>
    <row r="8" spans="2:8" x14ac:dyDescent="0.55000000000000004">
      <c r="B8" s="2" t="s">
        <v>7</v>
      </c>
      <c r="C8">
        <f>6/12</f>
        <v>0.5</v>
      </c>
      <c r="D8">
        <v>3.6000000000000004E-2</v>
      </c>
      <c r="E8">
        <f t="shared" si="0"/>
        <v>0.99995000000000001</v>
      </c>
      <c r="F8" t="s">
        <v>21</v>
      </c>
    </row>
    <row r="9" spans="2:8" x14ac:dyDescent="0.55000000000000004">
      <c r="B9" s="2" t="s">
        <v>8</v>
      </c>
      <c r="C9">
        <v>1</v>
      </c>
      <c r="D9">
        <v>3.49E-2</v>
      </c>
      <c r="E9">
        <f t="shared" si="0"/>
        <v>0.99990305555555559</v>
      </c>
      <c r="F9" t="s">
        <v>21</v>
      </c>
    </row>
    <row r="10" spans="2:8" x14ac:dyDescent="0.55000000000000004">
      <c r="B10" s="2" t="s">
        <v>9</v>
      </c>
      <c r="C10">
        <v>2</v>
      </c>
      <c r="D10">
        <v>3.4700000000000002E-2</v>
      </c>
      <c r="E10">
        <v>1</v>
      </c>
      <c r="F10" s="6" t="s">
        <v>20</v>
      </c>
    </row>
    <row r="11" spans="2:8" x14ac:dyDescent="0.55000000000000004">
      <c r="B11" s="2" t="s">
        <v>10</v>
      </c>
      <c r="C11">
        <v>3</v>
      </c>
      <c r="D11">
        <v>3.5000000000000003E-2</v>
      </c>
      <c r="E11">
        <v>1</v>
      </c>
      <c r="F11" t="s">
        <v>21</v>
      </c>
    </row>
    <row r="12" spans="2:8" x14ac:dyDescent="0.55000000000000004">
      <c r="B12" s="2" t="s">
        <v>11</v>
      </c>
      <c r="C12">
        <v>5</v>
      </c>
      <c r="D12">
        <v>3.6600000000000001E-2</v>
      </c>
      <c r="E12">
        <v>1</v>
      </c>
      <c r="F12" t="s">
        <v>21</v>
      </c>
    </row>
    <row r="13" spans="2:8" x14ac:dyDescent="0.55000000000000004">
      <c r="B13" s="2" t="s">
        <v>12</v>
      </c>
      <c r="C13">
        <v>7</v>
      </c>
      <c r="D13">
        <v>3.8599999999999995E-2</v>
      </c>
      <c r="E13">
        <v>1</v>
      </c>
      <c r="F13" t="s">
        <v>21</v>
      </c>
    </row>
    <row r="14" spans="2:8" x14ac:dyDescent="0.55000000000000004">
      <c r="B14" s="2" t="s">
        <v>13</v>
      </c>
      <c r="C14">
        <v>10</v>
      </c>
      <c r="D14">
        <v>4.0899999999999999E-2</v>
      </c>
      <c r="E14">
        <v>1</v>
      </c>
      <c r="F14" t="s">
        <v>21</v>
      </c>
    </row>
    <row r="15" spans="2:8" x14ac:dyDescent="0.55000000000000004">
      <c r="B15" s="2" t="s">
        <v>14</v>
      </c>
      <c r="C15">
        <v>20</v>
      </c>
      <c r="D15">
        <v>4.6500000000000007E-2</v>
      </c>
      <c r="E15">
        <v>1</v>
      </c>
      <c r="F15" t="s">
        <v>21</v>
      </c>
    </row>
    <row r="16" spans="2:8" x14ac:dyDescent="0.55000000000000004">
      <c r="B16" s="2" t="s">
        <v>15</v>
      </c>
      <c r="C16">
        <v>30</v>
      </c>
      <c r="D16">
        <v>4.7100000000000003E-2</v>
      </c>
      <c r="E16">
        <v>1</v>
      </c>
      <c r="F16" t="s">
        <v>21</v>
      </c>
    </row>
  </sheetData>
  <pageMargins left="0.7" right="0.7" top="0.75" bottom="0.75" header="0.3" footer="0.3"/>
  <ignoredErrors>
    <ignoredError sqref="C4" formula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Treasury Rates</vt:lpstr>
      <vt:lpstr>Instrument</vt:lpstr>
      <vt:lpstr>Curve</vt:lpstr>
      <vt:lpstr>Bootstrap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Keith Lewis</cp:lastModifiedBy>
  <dcterms:created xsi:type="dcterms:W3CDTF">2026-02-18T22:45:22Z</dcterms:created>
  <dcterms:modified xsi:type="dcterms:W3CDTF">2026-02-19T18:45:32Z</dcterms:modified>
</cp:coreProperties>
</file>