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466\source\repos\xll_ml\xlsx\"/>
    </mc:Choice>
  </mc:AlternateContent>
  <xr:revisionPtr revIDLastSave="0" documentId="13_ncr:1_{16632C35-E88C-4478-A09A-9401236075FB}" xr6:coauthVersionLast="47" xr6:coauthVersionMax="47" xr10:uidLastSave="{00000000-0000-0000-0000-000000000000}"/>
  <bookViews>
    <workbookView xWindow="-108" yWindow="-108" windowWidth="23256" windowHeight="13896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k2_">Sheet1!$C$13</definedName>
    <definedName name="m">Sheet1!$C$14</definedName>
    <definedName name="m2_">Sheet1!#REF!</definedName>
    <definedName name="r_">Sheet1!$C$10</definedName>
    <definedName name="s">Sheet1!$C$4</definedName>
    <definedName name="s0">Sheet1!$C$11</definedName>
    <definedName name="sigma">Sheet1!$C$12</definedName>
    <definedName name="t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 s="1"/>
  <c r="D5" i="1" a="1"/>
  <c r="C14" i="1" a="1"/>
  <c r="D5" i="1" l="1"/>
  <c r="C14" i="1"/>
  <c r="F5" i="1" a="1"/>
  <c r="E5" i="1" a="1"/>
  <c r="E5" i="1" l="1"/>
  <c r="F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<sst xmlns="http://schemas.openxmlformats.org/spreadsheetml/2006/main" count="7" uniqueCount="7">
  <si>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f</t>
  </si>
  <si>
    <t>s</t>
  </si>
  <si>
    <t>k</t>
  </si>
  <si>
    <t>m</t>
  </si>
  <si>
    <t>Moneyness</t>
  </si>
  <si>
    <t>Put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</si>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</sst>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5" formatCode="0.0000"/>
  </numFmts>
  <fonts count="2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64" fontId="1" fillId="0" borderId="0" xfId="1">
      <alignment horizontal="center" vertical="center"/>
    </xf>
    <xf numFmtId="165" fontId="0" fillId="0" borderId="0" xfId="0" applyNumberFormat="1"/>
  </cellXfs>
  <cellStyles count="2">
    <cellStyle name="Handle" xfId="1" xr:uid="{1D654BEF-DD87-407E-A523-E3474ECC1167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3:F15"/>
  <sheetViews>
    <sheetView tabSelected="1" workbookViewId="0">
      <selection activeCell="E16" sqref="E16"/>
    </sheetView>
  </sheetViews>
  <sheetFormatPr defaultRowHeight="18" x14ac:dyDescent="0.35"/>
  <cols>
    <col min="1" max="1" width="3.58203125" customWidth="1"/>
    <col min="3" max="3" width="11.6640625" bestFit="1" customWidth="1"/>
    <col min="4" max="4" width="12.33203125" bestFit="1" customWidth="1"/>
  </cols>
  <sheetData>
    <row r="3" spans="2:6" x14ac:dyDescent="0.35">
      <c r="B3" s="1" t="s">
        <v>0</v>
      </c>
      <c r="C3">
        <v>100</v>
      </c>
    </row>
    <row r="4" spans="2:6" x14ac:dyDescent="0.35">
      <c r="B4" s="1" t="s">
        <v>1</v>
      </c>
      <c r="C4">
        <v>0.1</v>
      </c>
      <c r="D4" t="s">
        <v>4</v>
      </c>
      <c r="E4" t="s">
        <v>5</v>
      </c>
      <c r="F4" t="s">
        <v>6</v>
      </c>
    </row>
    <row r="5" spans="2:6" x14ac:dyDescent="0.35">
      <c r="B5" s="1" t="s">
        <v>2</v>
      </c>
      <c r="C5" cm="1">
        <f t="array" ref="C5:C13">_xlfn.SEQUENCE(9, 1, 80, 5)</f>
        <v>80</v>
      </c>
      <c r="D5" cm="1">
        <f t="array" ref="D5:D13">_xlfn.MAP(_xlfn.ANCHORARRAY(k), _xlfn.LAMBDA(_xlpm.k, _xll.OPTION.BLACK.MONEYNESS(f, s, _xlpm.k, m)))</f>
        <v>-2.1814355131420968</v>
      </c>
      <c r="E5" cm="1">
        <f t="array" ref="E5:E13">_xlfn.MAP(_xlfn.ANCHORARRAY(k), _xlfn.LAMBDA(_xlpm.k, _xll.OPTION.BLACK.PUT(f, s, _xlpm.k, m)))</f>
        <v>3.9913489502149124E-2</v>
      </c>
      <c r="F5" cm="1">
        <f t="array" ref="F5:F13">_xlfn.MAP(_xlfn.ANCHORARRAY(k), _xlfn.LAMBDA(_xlpm.k, _xll.OPTION.BLACK.CALL(f, s, _xlpm.k, m)))</f>
        <v>20.039913489502155</v>
      </c>
    </row>
    <row r="6" spans="2:6" x14ac:dyDescent="0.35">
      <c r="C6">
        <v>85</v>
      </c>
      <c r="D6">
        <v>-1.5751892949777493</v>
      </c>
      <c r="E6">
        <v>0.20169020324580078</v>
      </c>
      <c r="F6">
        <v>15.201690203245803</v>
      </c>
    </row>
    <row r="7" spans="2:6" x14ac:dyDescent="0.35">
      <c r="C7">
        <v>90</v>
      </c>
      <c r="D7">
        <v>-1.0036051565782627</v>
      </c>
      <c r="E7">
        <v>0.7123773837400833</v>
      </c>
      <c r="F7">
        <v>10.71237738374009</v>
      </c>
    </row>
    <row r="8" spans="2:6" x14ac:dyDescent="0.35">
      <c r="C8">
        <v>95</v>
      </c>
      <c r="D8">
        <v>-0.46293294387550571</v>
      </c>
      <c r="E8">
        <v>1.8880683097281832</v>
      </c>
      <c r="F8">
        <v>6.8880683097281832</v>
      </c>
    </row>
    <row r="9" spans="2:6" x14ac:dyDescent="0.35">
      <c r="C9">
        <v>100</v>
      </c>
      <c r="D9">
        <v>5.000000000000001E-2</v>
      </c>
      <c r="E9">
        <v>3.9877746125013118</v>
      </c>
      <c r="F9">
        <v>3.9877746125013118</v>
      </c>
    </row>
    <row r="10" spans="2:6" x14ac:dyDescent="0.35">
      <c r="B10" s="1"/>
      <c r="C10">
        <v>105</v>
      </c>
      <c r="D10">
        <v>0.53790164169432031</v>
      </c>
      <c r="E10">
        <v>7.0640245213143373</v>
      </c>
      <c r="F10">
        <v>2.0640245213143373</v>
      </c>
    </row>
    <row r="11" spans="2:6" x14ac:dyDescent="0.35">
      <c r="B11" s="1"/>
      <c r="C11">
        <v>110</v>
      </c>
      <c r="D11">
        <v>1.0031017980432493</v>
      </c>
      <c r="E11">
        <v>10.953943365573252</v>
      </c>
      <c r="F11">
        <v>0.95394336557325232</v>
      </c>
    </row>
    <row r="12" spans="2:6" x14ac:dyDescent="0.35">
      <c r="B12" s="1"/>
      <c r="C12">
        <v>115</v>
      </c>
      <c r="D12">
        <v>1.4476194237515863</v>
      </c>
      <c r="E12">
        <v>15.394940132447118</v>
      </c>
      <c r="F12">
        <v>0.39494013244711823</v>
      </c>
    </row>
    <row r="13" spans="2:6" x14ac:dyDescent="0.35">
      <c r="B13" s="1"/>
      <c r="C13">
        <v>120</v>
      </c>
      <c r="D13">
        <v>1.8732155679395459</v>
      </c>
      <c r="E13">
        <v>20.147335155685013</v>
      </c>
      <c r="F13">
        <v>0.14733515568501332</v>
      </c>
    </row>
    <row r="14" spans="2:6" x14ac:dyDescent="0.35">
      <c r="B14" s="1" t="s">
        <v>3</v>
      </c>
      <c r="C14" s="2" cm="1">
        <f t="array" ref="C14">_xll.\OPTION.NORMAL()</f>
        <v>2560750804096</v>
      </c>
    </row>
    <row r="15" spans="2:6" x14ac:dyDescent="0.35">
      <c r="B15" s="1"/>
      <c r="C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f</vt:lpstr>
      <vt:lpstr>k</vt:lpstr>
      <vt:lpstr>k2_</vt:lpstr>
      <vt:lpstr>m</vt:lpstr>
      <vt:lpstr>r_</vt:lpstr>
      <vt:lpstr>s</vt:lpstr>
      <vt:lpstr>s0</vt:lpstr>
      <vt:lpstr>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Enhua Zhu</cp:lastModifiedBy>
  <dcterms:created xsi:type="dcterms:W3CDTF">2026-02-10T16:40:49Z</dcterms:created>
  <dcterms:modified xsi:type="dcterms:W3CDTF">2026-02-16T03:25:02Z</dcterms:modified>
</cp:coreProperties>
</file>